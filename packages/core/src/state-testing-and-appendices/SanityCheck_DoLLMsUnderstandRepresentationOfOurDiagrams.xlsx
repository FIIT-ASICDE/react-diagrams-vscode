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TO\Desktop\Workspaces\HTML\VsCodeIDEs\react-diagrams-vscode\packages\core\src\state-testing-and-appendices\"/>
    </mc:Choice>
  </mc:AlternateContent>
  <xr:revisionPtr revIDLastSave="0" documentId="13_ncr:1_{70C3E117-5CFD-4C04-8308-CAEF9EDF3A45}" xr6:coauthVersionLast="47" xr6:coauthVersionMax="47" xr10:uidLastSave="{00000000-0000-0000-0000-000000000000}"/>
  <bookViews>
    <workbookView xWindow="32640" yWindow="1368" windowWidth="28800" windowHeight="15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7" i="1"/>
  <c r="F16" i="1"/>
  <c r="F15" i="1"/>
  <c r="F14" i="1"/>
  <c r="F13" i="1"/>
  <c r="F12" i="1"/>
  <c r="F11" i="1"/>
  <c r="F10" i="1"/>
  <c r="F9" i="1"/>
  <c r="F8" i="1"/>
  <c r="F7" i="1"/>
  <c r="F6" i="1"/>
  <c r="F5" i="1"/>
  <c r="H3" i="1" s="1"/>
  <c r="F4" i="1"/>
  <c r="F3" i="1"/>
</calcChain>
</file>

<file path=xl/sharedStrings.xml><?xml version="1.0" encoding="utf-8"?>
<sst xmlns="http://schemas.openxmlformats.org/spreadsheetml/2006/main" count="83" uniqueCount="29">
  <si>
    <t>Accuracy</t>
  </si>
  <si>
    <t>1/1</t>
  </si>
  <si>
    <t>6/6</t>
  </si>
  <si>
    <t>2/2</t>
  </si>
  <si>
    <t>9/9</t>
  </si>
  <si>
    <t>10/10</t>
  </si>
  <si>
    <t>Representation</t>
  </si>
  <si>
    <t>9/10</t>
  </si>
  <si>
    <t>9.5/10</t>
  </si>
  <si>
    <t>JSON</t>
  </si>
  <si>
    <t>Image</t>
  </si>
  <si>
    <t>JSON + Image</t>
  </si>
  <si>
    <t>8.5/9</t>
  </si>
  <si>
    <t>6.5/10</t>
  </si>
  <si>
    <t>3.5/10</t>
  </si>
  <si>
    <t>5.5/10</t>
  </si>
  <si>
    <t>7.5/10</t>
  </si>
  <si>
    <t>5.5/6</t>
  </si>
  <si>
    <t>Claude Sonnet 4.6</t>
  </si>
  <si>
    <t>ChatGPT 5.3 (sub)</t>
  </si>
  <si>
    <t>Rep. avg. accuracy</t>
  </si>
  <si>
    <t>Scen. 1:</t>
  </si>
  <si>
    <t>Scen. 2:</t>
  </si>
  <si>
    <t>Scen. 2.5:</t>
  </si>
  <si>
    <t>SV</t>
  </si>
  <si>
    <t>MF</t>
  </si>
  <si>
    <t>US</t>
  </si>
  <si>
    <t>LAS</t>
  </si>
  <si>
    <t>Scenerio/
Matric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</si>
</sst>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999999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2" borderId="5" xfId="0" applyFill="1" applyBorder="1"/>
    <xf numFmtId="49" fontId="1" fillId="2" borderId="6" xfId="0" quotePrefix="1" applyNumberFormat="1" applyFont="1" applyFill="1" applyBorder="1" applyAlignment="1">
      <alignment vertical="center" wrapText="1"/>
    </xf>
    <xf numFmtId="49" fontId="1" fillId="2" borderId="5" xfId="0" quotePrefix="1" applyNumberFormat="1" applyFont="1" applyFill="1" applyBorder="1" applyAlignment="1">
      <alignment vertical="center" wrapText="1"/>
    </xf>
    <xf numFmtId="49" fontId="1" fillId="2" borderId="7" xfId="0" quotePrefix="1" applyNumberFormat="1" applyFont="1" applyFill="1" applyBorder="1" applyAlignment="1">
      <alignment vertical="center" wrapText="1"/>
    </xf>
    <xf numFmtId="164" fontId="0" fillId="2" borderId="7" xfId="1" applyNumberFormat="1" applyFont="1" applyFill="1" applyBorder="1"/>
    <xf numFmtId="49" fontId="0" fillId="2" borderId="2" xfId="0" applyNumberFormat="1" applyFill="1" applyBorder="1"/>
    <xf numFmtId="49" fontId="0" fillId="2" borderId="1" xfId="0" applyNumberFormat="1" applyFill="1" applyBorder="1"/>
    <xf numFmtId="49" fontId="0" fillId="2" borderId="3" xfId="0" applyNumberFormat="1" applyFill="1" applyBorder="1"/>
    <xf numFmtId="0" fontId="0" fillId="3" borderId="5" xfId="0" applyFill="1" applyBorder="1"/>
    <xf numFmtId="49" fontId="0" fillId="3" borderId="2" xfId="0" applyNumberFormat="1" applyFill="1" applyBorder="1"/>
    <xf numFmtId="49" fontId="0" fillId="3" borderId="1" xfId="0" applyNumberFormat="1" applyFill="1" applyBorder="1"/>
    <xf numFmtId="49" fontId="0" fillId="3" borderId="3" xfId="0" applyNumberFormat="1" applyFill="1" applyBorder="1"/>
    <xf numFmtId="164" fontId="0" fillId="3" borderId="7" xfId="1" applyNumberFormat="1" applyFont="1" applyFill="1" applyBorder="1"/>
    <xf numFmtId="0" fontId="0" fillId="3" borderId="0" xfId="0" applyFill="1"/>
    <xf numFmtId="0" fontId="0" fillId="2" borderId="0" xfId="0" applyFill="1"/>
    <xf numFmtId="0" fontId="0" fillId="0" borderId="8" xfId="0" applyBorder="1" applyAlignment="1">
      <alignment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accuracy per representation</a:t>
            </a:r>
          </a:p>
        </c:rich>
      </c:tx>
      <c:layout>
        <c:manualLayout>
          <c:xMode val="edge"/>
          <c:yMode val="edge"/>
          <c:x val="0.22601377952755905"/>
          <c:y val="5.2757793764988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1386380038661"/>
          <c:y val="0.15937262316247622"/>
          <c:w val="0.86293228139381972"/>
          <c:h val="0.76243094483436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JSON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Representation</c:v>
              </c:pt>
            </c:strLit>
          </c:cat>
          <c:val>
            <c:numRef>
              <c:f>Sheet1!$H$3</c:f>
              <c:numCache>
                <c:formatCode>0.0%</c:formatCode>
                <c:ptCount val="1"/>
                <c:pt idx="0">
                  <c:v>0.97937500000000011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C-4D1D-B19C-6EC67F309AEB}"/>
            </c:ext>
          </c:extLst>
        </c:ser>
        <c:ser>
          <c:idx val="1"/>
          <c:order val="1"/>
          <c:tx>
            <c:strRef>
              <c:f>Sheet1!$G$7</c:f>
              <c:strCache>
                <c:ptCount val="1"/>
                <c:pt idx="0">
                  <c:v>Image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Representation</c:v>
              </c:pt>
            </c:strLit>
          </c:cat>
          <c:val>
            <c:numRef>
              <c:f>Sheet1!$H$7</c:f>
              <c:numCache>
                <c:formatCode>0.0%</c:formatCode>
                <c:ptCount val="1"/>
                <c:pt idx="0">
                  <c:v>0.75356481481481496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3C-4D1D-B19C-6EC67F309AEB}"/>
            </c:ext>
          </c:extLst>
        </c:ser>
        <c:ser>
          <c:idx val="2"/>
          <c:order val="2"/>
          <c:tx>
            <c:strRef>
              <c:f>Sheet1!$G$13</c:f>
              <c:strCache>
                <c:ptCount val="1"/>
                <c:pt idx="0">
                  <c:v>JSON + Image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Representation</c:v>
              </c:pt>
            </c:strLit>
          </c:cat>
          <c:val>
            <c:numRef>
              <c:f>Sheet1!$H$13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3C-4D1D-B19C-6EC67F309A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9748048"/>
        <c:axId val="349750568"/>
      </c:barChart>
      <c:catAx>
        <c:axId val="3497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50568"/>
        <c:crosses val="autoZero"/>
        <c:auto val="1"/>
        <c:lblAlgn val="ctr"/>
        <c:lblOffset val="100"/>
        <c:noMultiLvlLbl val="0"/>
      </c:catAx>
      <c:valAx>
        <c:axId val="34975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74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693513902478167"/>
          <c:y val="0.92094225095371429"/>
          <c:w val="0.70184286135830654"/>
          <c:h val="6.7124574821942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422910</xdr:colOff>
      <xdr:row>0</xdr:row>
      <xdr:rowOff>171450</xdr:rowOff>
    </xdr:from>
    <xdr:to>
      <xdr:col>16</xdr:col>
      <xdr:colOff>373380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D8D73-AE31-5B88-74AF-EE624ED9D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workbookViewId="0">
      <selection activeCell="W24" sqref="W24"/>
    </sheetView>
  </sheetViews>
  <sheetFormatPr defaultRowHeight="15" x14ac:dyDescent="0.25"/>
  <cols>
    <col min="1" max="1" width="9.85546875" customWidth="1"/>
    <col min="2" max="2" width="5.42578125" customWidth="1"/>
    <col min="3" max="3" width="5.28515625" customWidth="1"/>
    <col min="4" max="4" width="6.85546875" customWidth="1"/>
    <col min="5" max="5" width="6.7109375" customWidth="1"/>
    <col min="6" max="6" width="9.140625" customWidth="1"/>
    <col min="7" max="7" width="14" customWidth="1"/>
    <col min="8" max="8" width="9" customWidth="1"/>
  </cols>
  <sheetData>
    <row r="1" spans="1:8" ht="15.75" thickBot="1" x14ac:dyDescent="0.3"/>
    <row r="2" spans="1:8" ht="30.75" thickBot="1" x14ac:dyDescent="0.3">
      <c r="A2" s="20" t="s">
        <v>28</v>
      </c>
      <c r="B2" s="1" t="s">
        <v>24</v>
      </c>
      <c r="C2" s="1" t="s">
        <v>25</v>
      </c>
      <c r="D2" s="1" t="s">
        <v>26</v>
      </c>
      <c r="E2" s="2" t="s">
        <v>27</v>
      </c>
      <c r="F2" s="3" t="s">
        <v>0</v>
      </c>
      <c r="G2" s="4" t="s">
        <v>6</v>
      </c>
      <c r="H2" s="4" t="s">
        <v>20</v>
      </c>
    </row>
    <row r="3" spans="1:8" x14ac:dyDescent="0.25">
      <c r="A3" s="5" t="s">
        <v>21</v>
      </c>
      <c r="B3" s="6" t="s">
        <v>3</v>
      </c>
      <c r="C3" s="7" t="s">
        <v>2</v>
      </c>
      <c r="D3" s="7" t="s">
        <v>4</v>
      </c>
      <c r="E3" s="8" t="s">
        <v>5</v>
      </c>
      <c r="F3" s="9">
        <f>(LEFT(B3,FIND("/",B3)-1)/MID(B3,FIND("/",B3)+1,LEN(B3)))*0.1+(LEFT(C3,FIND("/",C3)-1)/MID(C3,FIND("/",C3)+1,LEN(C3)))*0.1+(LEFT(D3,FIND("/",D3)-1)/MID(D3,FIND("/",D3)+1,LEN(D3)))*0.25+(LEFT(E3,FIND("/",E3)-1)/MID(E3,FIND("/",E3)+1,LEN(E3)))*0.55</f>
        <v>1</v>
      </c>
      <c r="G3" s="21" t="s">
        <v>9</v>
      </c>
      <c r="H3" s="25">
        <f>AVERAGE(F3,F4,F5,F6)</f>
        <v>0.97937500000000011</v>
      </c>
    </row>
    <row r="4" spans="1:8" x14ac:dyDescent="0.25">
      <c r="A4" s="5" t="s">
        <v>22</v>
      </c>
      <c r="B4" s="10" t="s">
        <v>1</v>
      </c>
      <c r="C4" s="11" t="s">
        <v>1</v>
      </c>
      <c r="D4" s="11" t="s">
        <v>2</v>
      </c>
      <c r="E4" s="12" t="s">
        <v>5</v>
      </c>
      <c r="F4" s="9">
        <f t="shared" ref="F4:F16" si="0">(LEFT(B4,FIND("/",B4)-1)/MID(B4,FIND("/",B4)+1,LEN(B4)))*0.1+(LEFT(C4,FIND("/",C4)-1)/MID(C4,FIND("/",C4)+1,LEN(C4)))*0.1+(LEFT(D4,FIND("/",D4)-1)/MID(D4,FIND("/",D4)+1,LEN(D4)))*0.25+(LEFT(E4,FIND("/",E4)-1)/MID(E4,FIND("/",E4)+1,LEN(E4)))*0.55</f>
        <v>1</v>
      </c>
      <c r="G4" s="22"/>
      <c r="H4" s="26"/>
    </row>
    <row r="5" spans="1:8" x14ac:dyDescent="0.25">
      <c r="A5" s="13" t="s">
        <v>21</v>
      </c>
      <c r="B5" s="14" t="s">
        <v>3</v>
      </c>
      <c r="C5" s="15" t="s">
        <v>2</v>
      </c>
      <c r="D5" s="15" t="s">
        <v>4</v>
      </c>
      <c r="E5" s="16" t="s">
        <v>7</v>
      </c>
      <c r="F5" s="17">
        <f t="shared" si="0"/>
        <v>0.94500000000000006</v>
      </c>
      <c r="G5" s="22"/>
      <c r="H5" s="26"/>
    </row>
    <row r="6" spans="1:8" x14ac:dyDescent="0.25">
      <c r="A6" s="13" t="s">
        <v>22</v>
      </c>
      <c r="B6" s="14" t="s">
        <v>1</v>
      </c>
      <c r="C6" s="15" t="s">
        <v>1</v>
      </c>
      <c r="D6" s="15" t="s">
        <v>2</v>
      </c>
      <c r="E6" s="16" t="s">
        <v>8</v>
      </c>
      <c r="F6" s="17">
        <f t="shared" si="0"/>
        <v>0.97249999999999992</v>
      </c>
      <c r="G6" s="23"/>
      <c r="H6" s="26"/>
    </row>
    <row r="7" spans="1:8" x14ac:dyDescent="0.25">
      <c r="A7" s="5" t="s">
        <v>21</v>
      </c>
      <c r="B7" s="10" t="s">
        <v>3</v>
      </c>
      <c r="C7" s="11" t="s">
        <v>2</v>
      </c>
      <c r="D7" s="11" t="s">
        <v>12</v>
      </c>
      <c r="E7" s="12" t="s">
        <v>13</v>
      </c>
      <c r="F7" s="9">
        <f t="shared" si="0"/>
        <v>0.79361111111111116</v>
      </c>
      <c r="G7" s="24" t="s">
        <v>10</v>
      </c>
      <c r="H7" s="27">
        <f>AVERAGE(F7,F8,F9,F10,F11,F12)</f>
        <v>0.75356481481481496</v>
      </c>
    </row>
    <row r="8" spans="1:8" x14ac:dyDescent="0.25">
      <c r="A8" s="5" t="s">
        <v>22</v>
      </c>
      <c r="B8" s="10" t="s">
        <v>1</v>
      </c>
      <c r="C8" s="11" t="s">
        <v>1</v>
      </c>
      <c r="D8" s="11" t="s">
        <v>2</v>
      </c>
      <c r="E8" s="12" t="s">
        <v>14</v>
      </c>
      <c r="F8" s="9">
        <f t="shared" si="0"/>
        <v>0.64250000000000007</v>
      </c>
      <c r="G8" s="22"/>
      <c r="H8" s="26"/>
    </row>
    <row r="9" spans="1:8" x14ac:dyDescent="0.25">
      <c r="A9" s="5" t="s">
        <v>23</v>
      </c>
      <c r="B9" s="10" t="s">
        <v>1</v>
      </c>
      <c r="C9" s="11" t="s">
        <v>1</v>
      </c>
      <c r="D9" s="11" t="s">
        <v>2</v>
      </c>
      <c r="E9" s="12" t="s">
        <v>15</v>
      </c>
      <c r="F9" s="9">
        <f t="shared" si="0"/>
        <v>0.75250000000000006</v>
      </c>
      <c r="G9" s="22"/>
      <c r="H9" s="26"/>
    </row>
    <row r="10" spans="1:8" x14ac:dyDescent="0.25">
      <c r="A10" s="13" t="s">
        <v>21</v>
      </c>
      <c r="B10" s="14" t="s">
        <v>3</v>
      </c>
      <c r="C10" s="15" t="s">
        <v>2</v>
      </c>
      <c r="D10" s="15" t="s">
        <v>12</v>
      </c>
      <c r="E10" s="16" t="s">
        <v>16</v>
      </c>
      <c r="F10" s="17">
        <f t="shared" si="0"/>
        <v>0.8486111111111112</v>
      </c>
      <c r="G10" s="22"/>
      <c r="H10" s="26"/>
    </row>
    <row r="11" spans="1:8" x14ac:dyDescent="0.25">
      <c r="A11" s="13" t="s">
        <v>22</v>
      </c>
      <c r="B11" s="14" t="s">
        <v>1</v>
      </c>
      <c r="C11" s="15" t="s">
        <v>1</v>
      </c>
      <c r="D11" s="15" t="s">
        <v>17</v>
      </c>
      <c r="E11" s="16" t="s">
        <v>15</v>
      </c>
      <c r="F11" s="17">
        <f t="shared" si="0"/>
        <v>0.73166666666666669</v>
      </c>
      <c r="G11" s="22"/>
      <c r="H11" s="26"/>
    </row>
    <row r="12" spans="1:8" x14ac:dyDescent="0.25">
      <c r="A12" s="13" t="s">
        <v>23</v>
      </c>
      <c r="B12" s="14" t="s">
        <v>1</v>
      </c>
      <c r="C12" s="15" t="s">
        <v>1</v>
      </c>
      <c r="D12" s="15" t="s">
        <v>2</v>
      </c>
      <c r="E12" s="16" t="s">
        <v>15</v>
      </c>
      <c r="F12" s="17">
        <f t="shared" si="0"/>
        <v>0.75250000000000006</v>
      </c>
      <c r="G12" s="23"/>
      <c r="H12" s="26"/>
    </row>
    <row r="13" spans="1:8" x14ac:dyDescent="0.25">
      <c r="A13" s="5" t="s">
        <v>21</v>
      </c>
      <c r="B13" s="10" t="s">
        <v>3</v>
      </c>
      <c r="C13" s="11" t="s">
        <v>2</v>
      </c>
      <c r="D13" s="11" t="s">
        <v>4</v>
      </c>
      <c r="E13" s="12" t="s">
        <v>5</v>
      </c>
      <c r="F13" s="9">
        <f t="shared" si="0"/>
        <v>1</v>
      </c>
      <c r="G13" s="24" t="s">
        <v>11</v>
      </c>
      <c r="H13" s="27">
        <f>AVERAGE(F13,F14,F15,F16)</f>
        <v>1</v>
      </c>
    </row>
    <row r="14" spans="1:8" x14ac:dyDescent="0.25">
      <c r="A14" s="5" t="s">
        <v>22</v>
      </c>
      <c r="B14" s="10" t="s">
        <v>1</v>
      </c>
      <c r="C14" s="11" t="s">
        <v>1</v>
      </c>
      <c r="D14" s="11" t="s">
        <v>2</v>
      </c>
      <c r="E14" s="12" t="s">
        <v>5</v>
      </c>
      <c r="F14" s="9">
        <f t="shared" si="0"/>
        <v>1</v>
      </c>
      <c r="G14" s="22"/>
      <c r="H14" s="26"/>
    </row>
    <row r="15" spans="1:8" x14ac:dyDescent="0.25">
      <c r="A15" s="13" t="s">
        <v>21</v>
      </c>
      <c r="B15" s="14" t="s">
        <v>3</v>
      </c>
      <c r="C15" s="15" t="s">
        <v>2</v>
      </c>
      <c r="D15" s="15" t="s">
        <v>4</v>
      </c>
      <c r="E15" s="16" t="s">
        <v>5</v>
      </c>
      <c r="F15" s="17">
        <f t="shared" si="0"/>
        <v>1</v>
      </c>
      <c r="G15" s="22"/>
      <c r="H15" s="26"/>
    </row>
    <row r="16" spans="1:8" x14ac:dyDescent="0.25">
      <c r="A16" s="13" t="s">
        <v>22</v>
      </c>
      <c r="B16" s="14" t="s">
        <v>1</v>
      </c>
      <c r="C16" s="15" t="s">
        <v>1</v>
      </c>
      <c r="D16" s="15" t="s">
        <v>2</v>
      </c>
      <c r="E16" s="16" t="s">
        <v>5</v>
      </c>
      <c r="F16" s="17">
        <f t="shared" si="0"/>
        <v>1</v>
      </c>
      <c r="G16" s="23"/>
      <c r="H16" s="26"/>
    </row>
    <row r="18" spans="5:6" x14ac:dyDescent="0.25">
      <c r="E18" s="18" t="s">
        <v>18</v>
      </c>
      <c r="F18" s="18"/>
    </row>
    <row r="19" spans="5:6" x14ac:dyDescent="0.25">
      <c r="E19" s="19" t="s">
        <v>19</v>
      </c>
      <c r="F19" s="19"/>
    </row>
  </sheetData>
  <mergeCells count="6">
    <mergeCell ref="G3:G6"/>
    <mergeCell ref="G7:G12"/>
    <mergeCell ref="G13:G16"/>
    <mergeCell ref="H3:H6"/>
    <mergeCell ref="H7:H12"/>
    <mergeCell ref="H13:H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 B</cp:lastModifiedBy>
  <dcterms:created xsi:type="dcterms:W3CDTF">2015-06-05T18:17:20Z</dcterms:created>
  <dcterms:modified xsi:type="dcterms:W3CDTF">2026-05-10T12:52:03Z</dcterms:modified>
</cp:coreProperties>
</file>